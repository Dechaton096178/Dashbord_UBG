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rror Codes" sheetId="1" state="visible" r:id="rId3"/>
    <sheet name="Machine Chec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<sst xmlns="http://schemas.openxmlformats.org/spreadsheetml/2006/main" count="49" uniqueCount="46">
  <si>
    <t xml:space="preserve">วิเคราะห์ผลค้นหา PLC Mitsubishi (Node-RED: อ่าน PLC อัตโนมัติ)</t>
  </si>
  <si>
    <t xml:space="preserve">ดูรหัสในวงเล็บจากข้อความ "ผลค้นหา &lt;IP&gt;" ในแท็บ Debug</t>
  </si>
  <si>
    <t xml:space="preserve">รหัสที่เห็น</t>
  </si>
  <si>
    <t xml:space="preserve">ความหมาย</t>
  </si>
  <si>
    <t xml:space="preserve">สิ่งที่ต้องทำ</t>
  </si>
  <si>
    <t xml:space="preserve">ECONNREFUSED</t>
  </si>
  <si>
    <t xml:space="preserve">PLC ไม่ได้เปิด port นี้ หรือช่อง SLMP เต็มแล้ว</t>
  </si>
  <si>
    <t xml:space="preserve">เช็คว่ามีโปรแกรมอื่นต่อ port เดียวกันอยู่หรือไม่ / เพิ่มแถว SLMP (TCP port 5000) ใน GX Works3</t>
  </si>
  <si>
    <t xml:space="preserve">connect timeout</t>
  </si>
  <si>
    <t xml:space="preserve">PLC ไม่ตอบ อาจมี connection เก่าค้างอยู่</t>
  </si>
  <si>
    <r>
      <rPr>
        <sz val="11"/>
        <color theme="1"/>
        <rFont val="Arial"/>
        <family val="0"/>
        <charset val="1"/>
      </rPr>
      <t xml:space="preserve">Reset PLC แล้ว Deploy ใหม่ / ตั้ง </t>
    </r>
    <r>
      <rPr>
        <sz val="11"/>
        <color theme="1"/>
        <rFont val="Noto Sans CJK SC"/>
        <family val="2"/>
      </rPr>
      <t xml:space="preserve">生存确认 </t>
    </r>
    <r>
      <rPr>
        <sz val="11"/>
        <color theme="1"/>
        <rFont val="Arial"/>
        <family val="0"/>
        <charset val="1"/>
      </rPr>
      <t xml:space="preserve">= KeepAlive</t>
    </r>
  </si>
  <si>
    <t xml:space="preserve">ไม่ตอบ (timeout)</t>
  </si>
  <si>
    <t xml:space="preserve">ต่อได้ แต่ PLC ไม่ตอบคำสั่ง</t>
  </si>
  <si>
    <r>
      <rPr>
        <sz val="11"/>
        <color theme="1"/>
        <rFont val="Arial"/>
        <family val="0"/>
        <charset val="1"/>
      </rPr>
      <t xml:space="preserve">ตั้ง </t>
    </r>
    <r>
      <rPr>
        <sz val="11"/>
        <color theme="1"/>
        <rFont val="Noto Sans CJK SC"/>
        <family val="2"/>
      </rPr>
      <t xml:space="preserve">通信数据代码 </t>
    </r>
    <r>
      <rPr>
        <sz val="11"/>
        <color theme="1"/>
        <rFont val="Arial"/>
        <family val="0"/>
        <charset val="1"/>
      </rPr>
      <t xml:space="preserve">เป็น Binary (</t>
    </r>
    <r>
      <rPr>
        <sz val="11"/>
        <color theme="1"/>
        <rFont val="Noto Sans CJK SC"/>
        <family val="2"/>
      </rPr>
      <t xml:space="preserve">二进制</t>
    </r>
    <r>
      <rPr>
        <sz val="11"/>
        <color theme="1"/>
        <rFont val="Arial"/>
        <family val="0"/>
        <charset val="1"/>
      </rPr>
      <t xml:space="preserve">) ไม่ใช่ ASCII</t>
    </r>
  </si>
  <si>
    <t xml:space="preserve">MC Protocol ✓ / Modbus TCP ✓</t>
  </si>
  <si>
    <t xml:space="preserve">อ่านค่าได้แล้ว</t>
  </si>
  <si>
    <t xml:space="preserve">ไม่ต้องทำอะไร — ตรวจตัวเลขเทียบกับจอ HMI</t>
  </si>
  <si>
    <t xml:space="preserve">ขั้นตอนดูผล</t>
  </si>
  <si>
    <t xml:space="preserve">1. ดูข้อความใต้ node "อ่าน PLC &lt;IP&gt; (อัตโนมัติ)" — ระหว่างค้นหาขึ้น "กำลังหา... port xxx" เสร็จแล้วเป็นสีเขียวหรือแดง</t>
  </si>
  <si>
    <t xml:space="preserve">2. ในแท็บ Debug หาข้อความ "ผลค้นหา &lt;IP&gt;" (ใช้เวลาประมาณ 1 นาที)</t>
  </si>
  <si>
    <t xml:space="preserve">3. ถ้าข้อความเยอะ ปิด debug "JSON ที่ส่ง" และ "server response" (กดปุ่มเขียวท้าย node ให้เป็นสีเทา) แล้ว Deploy</t>
  </si>
  <si>
    <t xml:space="preserve">4. ส่งผลค้นหา (มีรหัส error ในวงเล็บ) มาให้วิเคราะห์ต่อ</t>
  </si>
  <si>
    <t xml:space="preserve">บันทึกผลตรวจ PLC แต่ละเครื่อง</t>
  </si>
  <si>
    <t xml:space="preserve">กรอกเฉพาะช่องสีเหลือง (รหัสที่เห็น, วันที่, หมายเหตุ) — คอลัมน์ ความหมาย/สิ่งที่ต้องทำ ดึงจากแท็บ Error Codes อัตโนมัติ</t>
  </si>
  <si>
    <t xml:space="preserve">รหัสเครื่อง</t>
  </si>
  <si>
    <t xml:space="preserve">ชื่อบนหน้าเว็บ</t>
  </si>
  <si>
    <t xml:space="preserve">PLC IP</t>
  </si>
  <si>
    <t xml:space="preserve">ไฟล์ Node-RED</t>
  </si>
  <si>
    <t xml:space="preserve">รหัสที่เห็น (กรอก)</t>
  </si>
  <si>
    <t xml:space="preserve">วันที่ตรวจ (กรอก)</t>
  </si>
  <si>
    <t xml:space="preserve">หมายเหตุ (กรอก)</t>
  </si>
  <si>
    <t xml:space="preserve">SB01</t>
  </si>
  <si>
    <t xml:space="preserve">Seambuffing 4</t>
  </si>
  <si>
    <t xml:space="preserve">192.168.0.102</t>
  </si>
  <si>
    <t xml:space="preserve">flows_SB01_plc_auto.json</t>
  </si>
  <si>
    <t xml:space="preserve">2026-10-08</t>
  </si>
  <si>
    <t xml:space="preserve">ตัวอย่าง: อ่านได้ทาง MC:502</t>
  </si>
  <si>
    <t xml:space="preserve">SB02</t>
  </si>
  <si>
    <t xml:space="preserve">Seambuffing 2</t>
  </si>
  <si>
    <t xml:space="preserve">192.168.0.20</t>
  </si>
  <si>
    <t xml:space="preserve">flows_SB02_plc_auto.json</t>
  </si>
  <si>
    <t xml:space="preserve">SB03</t>
  </si>
  <si>
    <t xml:space="preserve">Seambuffing 3</t>
  </si>
  <si>
    <t xml:space="preserve">192.168.0.21</t>
  </si>
  <si>
    <t xml:space="preserve">flows_SB03_plc_auto.json</t>
  </si>
  <si>
    <t xml:space="preserve">ping ผ่าน แต่ต่อทุก port ไม่ได้ (รอรหัส error)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</si>
</sst>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Noto Sans CJK SC"/>
      <family val="2"/>
    </font>
    <font>
      <b val="true"/>
      <sz val="12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5"/>
    <col collapsed="false" customWidth="true" hidden="false" outlineLevel="0" max="3" min="3" style="0" width="70"/>
  </cols>
  <sheetData>
    <row r="1" customFormat="false" ht="17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26.85" hidden="false" customHeight="false" outlineLevel="0" collapsed="false">
      <c r="A5" s="4" t="s">
        <v>5</v>
      </c>
      <c r="B5" s="5" t="s">
        <v>6</v>
      </c>
      <c r="C5" s="5" t="s">
        <v>7</v>
      </c>
    </row>
    <row r="6" customFormat="false" ht="17.15" hidden="false" customHeight="false" outlineLevel="0" collapsed="false">
      <c r="A6" s="4" t="s">
        <v>8</v>
      </c>
      <c r="B6" s="5" t="s">
        <v>9</v>
      </c>
      <c r="C6" s="5" t="s">
        <v>10</v>
      </c>
    </row>
    <row r="7" customFormat="false" ht="17.15" hidden="false" customHeight="false" outlineLevel="0" collapsed="false">
      <c r="A7" s="4" t="s">
        <v>11</v>
      </c>
      <c r="B7" s="5" t="s">
        <v>12</v>
      </c>
      <c r="C7" s="5" t="s">
        <v>13</v>
      </c>
    </row>
    <row r="8" customFormat="false" ht="26.85" hidden="false" customHeight="false" outlineLevel="0" collapsed="false">
      <c r="A8" s="4" t="s">
        <v>14</v>
      </c>
      <c r="B8" s="5" t="s">
        <v>15</v>
      </c>
      <c r="C8" s="5" t="s">
        <v>16</v>
      </c>
    </row>
    <row r="10" customFormat="false" ht="15" hidden="false" customHeight="false" outlineLevel="0" collapsed="false">
      <c r="A10" s="6" t="s">
        <v>17</v>
      </c>
    </row>
    <row r="11" customFormat="false" ht="14.15" hidden="false" customHeight="false" outlineLevel="0" collapsed="false">
      <c r="A11" s="7" t="s">
        <v>18</v>
      </c>
      <c r="B11" s="7"/>
      <c r="C11" s="7"/>
    </row>
    <row r="12" customFormat="false" ht="14.15" hidden="false" customHeight="false" outlineLevel="0" collapsed="false">
      <c r="A12" s="7" t="s">
        <v>19</v>
      </c>
      <c r="B12" s="7"/>
      <c r="C12" s="7"/>
    </row>
    <row r="13" customFormat="false" ht="14.15" hidden="false" customHeight="false" outlineLevel="0" collapsed="false">
      <c r="A13" s="7" t="s">
        <v>20</v>
      </c>
      <c r="B13" s="7"/>
      <c r="C13" s="7"/>
    </row>
    <row r="14" customFormat="false" ht="14.15" hidden="false" customHeight="false" outlineLevel="0" collapsed="false">
      <c r="A14" s="7" t="s">
        <v>21</v>
      </c>
      <c r="B14" s="7"/>
      <c r="C14" s="7"/>
    </row>
  </sheetData>
  <mergeCells count="4">
    <mergeCell ref="A11:C11"/>
    <mergeCell ref="A12:C12"/>
    <mergeCell ref="A13:C13"/>
    <mergeCell ref="A14:C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5"/>
    <col collapsed="false" customWidth="true" hidden="false" outlineLevel="0" max="4" min="4" style="0" width="26"/>
    <col collapsed="false" customWidth="true" hidden="false" outlineLevel="0" max="5" min="5" style="0" width="28"/>
    <col collapsed="false" customWidth="true" hidden="false" outlineLevel="0" max="6" min="6" style="0" width="38"/>
    <col collapsed="false" customWidth="true" hidden="false" outlineLevel="0" max="7" min="7" style="0" width="55"/>
    <col collapsed="false" customWidth="true" hidden="false" outlineLevel="0" max="8" min="8" style="0" width="16"/>
    <col collapsed="false" customWidth="true" hidden="false" outlineLevel="0" max="9" min="9" style="0" width="40"/>
  </cols>
  <sheetData>
    <row r="1" customFormat="false" ht="17.15" hidden="false" customHeight="false" outlineLevel="0" collapsed="false">
      <c r="A1" s="1" t="s">
        <v>22</v>
      </c>
    </row>
    <row r="2" customFormat="false" ht="15" hidden="false" customHeight="false" outlineLevel="0" collapsed="false">
      <c r="A2" s="2" t="s">
        <v>23</v>
      </c>
    </row>
    <row r="4" customFormat="false" ht="15" hidden="false" customHeight="false" outlineLevel="0" collapsed="false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3</v>
      </c>
      <c r="G4" s="3" t="s">
        <v>4</v>
      </c>
      <c r="H4" s="3" t="s">
        <v>29</v>
      </c>
      <c r="I4" s="3" t="s">
        <v>30</v>
      </c>
    </row>
    <row r="5" customFormat="false" ht="26.85" hidden="false" customHeight="false" outlineLevel="0" collapsed="false">
      <c r="A5" s="5" t="s">
        <v>31</v>
      </c>
      <c r="B5" s="5" t="s">
        <v>32</v>
      </c>
      <c r="C5" s="5" t="s">
        <v>33</v>
      </c>
      <c r="D5" s="5" t="s">
        <v>34</v>
      </c>
      <c r="E5" s="8" t="s">
        <v>14</v>
      </c>
      <c r="F5" s="5" t="str">
        <f aca="false">IF(E5="","",IFERROR(INDEX('Error Codes'!$B$5:$B$8,MATCH(E5,'Error Codes'!$A$5:$A$8,0)),"ไม่พบรหัสนี้"))</f>
        <v>อ่านค่าได้แล้ว</v>
      </c>
      <c r="G5" s="5" t="str">
        <f aca="false">IF(E5="","",IFERROR(INDEX('Error Codes'!$C$5:$C$8,MATCH(E5,'Error Codes'!$A$5:$A$8,0)),"ส่งผลค้นหาให้วิเคราะห์"))</f>
        <v>ไม่ต้องทำอะไร — ตรวจตัวเลขเทียบกับจอ HMI</v>
      </c>
      <c r="H5" s="8" t="s">
        <v>35</v>
      </c>
      <c r="I5" s="8" t="s">
        <v>36</v>
      </c>
    </row>
    <row r="6" customFormat="false" ht="15" hidden="false" customHeight="false" outlineLevel="0" collapsed="false">
      <c r="A6" s="5" t="s">
        <v>37</v>
      </c>
      <c r="B6" s="5" t="s">
        <v>38</v>
      </c>
      <c r="C6" s="5" t="s">
        <v>39</v>
      </c>
      <c r="D6" s="5" t="s">
        <v>40</v>
      </c>
      <c r="E6" s="8"/>
      <c r="F6" s="5" t="str">
        <f aca="false">IF(E6="","",IFERROR(INDEX('Error Codes'!$B$5:$B$8,MATCH(E6,'Error Codes'!$A$5:$A$8,0)),"ไม่พบรหัสนี้"))</f>
        <v/>
      </c>
      <c r="G6" s="5" t="str">
        <f aca="false">IF(E6="","",IFERROR(INDEX('Error Codes'!$C$5:$C$8,MATCH(E6,'Error Codes'!$A$5:$A$8,0)),"ส่งผลค้นหาให้วิเคราะห์"))</f>
        <v/>
      </c>
      <c r="H6" s="8"/>
      <c r="I6" s="8"/>
    </row>
    <row r="7" customFormat="false" ht="15" hidden="false" customHeight="false" outlineLevel="0" collapsed="false">
      <c r="A7" s="5" t="s">
        <v>41</v>
      </c>
      <c r="B7" s="5" t="s">
        <v>42</v>
      </c>
      <c r="C7" s="5" t="s">
        <v>43</v>
      </c>
      <c r="D7" s="5" t="s">
        <v>44</v>
      </c>
      <c r="E7" s="8"/>
      <c r="F7" s="5" t="str">
        <f aca="false">IF(E7="","",IFERROR(INDEX('Error Codes'!$B$5:$B$8,MATCH(E7,'Error Codes'!$A$5:$A$8,0)),"ไม่พบรหัสนี้"))</f>
        <v/>
      </c>
      <c r="G7" s="5" t="str">
        <f aca="false">IF(E7="","",IFERROR(INDEX('Error Codes'!$C$5:$C$8,MATCH(E7,'Error Codes'!$A$5:$A$8,0)),"ส่งผลค้นหาให้วิเคราะห์"))</f>
        <v/>
      </c>
      <c r="H7" s="8"/>
      <c r="I7" s="8" t="s">
        <v>45</v>
      </c>
    </row>
  </sheetData>
  <dataValidations count="1">
    <dataValidation allowBlank="true" errorStyle="stop" operator="between" showDropDown="false" showErrorMessage="false" showInputMessage="false" sqref="E5:E7" type="list">
      <formula1>'Error Codes'!$A$5:$A$8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2026-10-08T09:39:28Z</dcterms:created>
  <dc:creator>openpyxl</dc:creator>
  <dc:description/>
  <dc:language>en-US</dc:language>
  <cp:lastModifiedBy/>
  <dcterms:modified xsi:type="dcterms:W3CDTF">2026-10-08T09:39:28Z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